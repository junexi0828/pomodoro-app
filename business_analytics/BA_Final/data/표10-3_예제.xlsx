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Dropbox\2.Lecture\BusinessAnalytics_2021년_2학기\202108_BA_book\draft_v0.3\BA_code\ch10_Logistic_Regression\"/>
    </mc:Choice>
  </mc:AlternateContent>
  <xr:revisionPtr revIDLastSave="0" documentId="13_ncr:1_{D56682BF-5ADB-46B2-8CEB-605DF086EF10}" xr6:coauthVersionLast="47" xr6:coauthVersionMax="47" xr10:uidLastSave="{00000000-0000-0000-0000-000000000000}"/>
  <bookViews>
    <workbookView xWindow="46740" yWindow="460" windowWidth="20810" windowHeight="197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1" l="1"/>
  <c r="H9" i="1" s="1"/>
  <c r="G6" i="1"/>
  <c r="H6" i="1" s="1"/>
  <c r="G5" i="1"/>
  <c r="C14" i="1"/>
  <c r="D14" i="1" s="1"/>
  <c r="F14" i="1" s="1"/>
  <c r="C13" i="1"/>
  <c r="D13" i="1" s="1"/>
  <c r="F13" i="1" s="1"/>
  <c r="C12" i="1"/>
  <c r="D12" i="1" s="1"/>
  <c r="F12" i="1" s="1"/>
  <c r="C11" i="1"/>
  <c r="D11" i="1" s="1"/>
  <c r="C10" i="1"/>
  <c r="D10" i="1" s="1"/>
  <c r="C9" i="1"/>
  <c r="D9" i="1" s="1"/>
  <c r="F9" i="1" s="1"/>
  <c r="C8" i="1"/>
  <c r="D8" i="1" s="1"/>
  <c r="G8" i="1" s="1"/>
  <c r="H8" i="1" s="1"/>
  <c r="C7" i="1"/>
  <c r="D7" i="1" s="1"/>
  <c r="G7" i="1" s="1"/>
  <c r="H7" i="1" s="1"/>
  <c r="C6" i="1"/>
  <c r="D6" i="1" s="1"/>
  <c r="F6" i="1" s="1"/>
  <c r="C5" i="1"/>
  <c r="D5" i="1" s="1"/>
  <c r="F5" i="1" s="1"/>
  <c r="F8" i="1" l="1"/>
  <c r="G12" i="1"/>
  <c r="H12" i="1" s="1"/>
  <c r="G13" i="1"/>
  <c r="H13" i="1" s="1"/>
  <c r="F7" i="1"/>
  <c r="F16" i="1" s="1"/>
  <c r="G14" i="1"/>
  <c r="H14" i="1" s="1"/>
  <c r="G10" i="1"/>
  <c r="H10" i="1" s="1"/>
  <c r="F10" i="1"/>
  <c r="G11" i="1"/>
  <c r="H11" i="1" s="1"/>
  <c r="F11" i="1"/>
  <c r="H5" i="1"/>
  <c r="F17" i="1" l="1"/>
  <c r="B21" i="1" s="1"/>
  <c r="F18" i="1"/>
  <c r="B22" i="1" s="1"/>
</calcChain>
</file>

<file path=xl/sharedStrings.xml><?xml version="1.0" encoding="utf-8"?>
<sst xmlns="http://schemas.openxmlformats.org/spreadsheetml/2006/main" count="15" uniqueCount="14">
  <si>
    <t>i</t>
    <phoneticPr fontId="1" type="noConversion"/>
  </si>
  <si>
    <t>x_i</t>
    <phoneticPr fontId="1" type="noConversion"/>
  </si>
  <si>
    <t>a_i</t>
    <phoneticPr fontId="1" type="noConversion"/>
  </si>
  <si>
    <t>z_i</t>
    <phoneticPr fontId="1" type="noConversion"/>
  </si>
  <si>
    <t>w</t>
    <phoneticPr fontId="1" type="noConversion"/>
  </si>
  <si>
    <t>b</t>
    <phoneticPr fontId="1" type="noConversion"/>
  </si>
  <si>
    <t>y_i</t>
    <phoneticPr fontId="1" type="noConversion"/>
  </si>
  <si>
    <t>y_i log(a_i) + (1-y_i) log(1-a_i)</t>
    <phoneticPr fontId="1" type="noConversion"/>
  </si>
  <si>
    <t>Entropy</t>
    <phoneticPr fontId="1" type="noConversion"/>
  </si>
  <si>
    <t>L(w,b)의 w에 대한 그래디언트</t>
    <phoneticPr fontId="1" type="noConversion"/>
  </si>
  <si>
    <t>(a_i - y_i)</t>
    <phoneticPr fontId="1" type="noConversion"/>
  </si>
  <si>
    <t>(a_i - y_i)*x_i</t>
    <phoneticPr fontId="1" type="noConversion"/>
  </si>
  <si>
    <t>w_new</t>
    <phoneticPr fontId="1" type="noConversion"/>
  </si>
  <si>
    <t>b_new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</si>
</sst>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.0000_ "/>
    <numFmt numFmtId="184" formatCode="0.0000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Border="1" applyAlignment="1">
      <alignment horizontal="right" vertical="center" wrapText="1"/>
    </xf>
    <xf numFmtId="181" fontId="0" fillId="0" borderId="0" xfId="0" applyNumberFormat="1"/>
    <xf numFmtId="0" fontId="0" fillId="0" borderId="0" xfId="0" applyAlignment="1">
      <alignment horizontal="center"/>
    </xf>
    <xf numFmtId="18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/>
  </sheetViews>
  <sheetFormatPr defaultRowHeight="17" x14ac:dyDescent="0.45"/>
  <cols>
    <col min="6" max="6" width="27" customWidth="1"/>
    <col min="8" max="8" width="11.83203125" customWidth="1"/>
  </cols>
  <sheetData>
    <row r="1" spans="1:8" x14ac:dyDescent="0.45">
      <c r="A1" s="1" t="s">
        <v>4</v>
      </c>
      <c r="B1">
        <v>0.2</v>
      </c>
    </row>
    <row r="2" spans="1:8" x14ac:dyDescent="0.45">
      <c r="A2" s="1" t="s">
        <v>5</v>
      </c>
      <c r="B2">
        <v>-0.2</v>
      </c>
    </row>
    <row r="4" spans="1:8" x14ac:dyDescent="0.45">
      <c r="A4" s="1" t="s">
        <v>0</v>
      </c>
      <c r="B4" s="1" t="s">
        <v>1</v>
      </c>
      <c r="C4" s="1" t="s">
        <v>3</v>
      </c>
      <c r="D4" s="1" t="s">
        <v>2</v>
      </c>
      <c r="E4" s="1" t="s">
        <v>6</v>
      </c>
      <c r="F4" s="1" t="s">
        <v>7</v>
      </c>
      <c r="G4" s="1" t="s">
        <v>10</v>
      </c>
      <c r="H4" s="1" t="s">
        <v>11</v>
      </c>
    </row>
    <row r="5" spans="1:8" x14ac:dyDescent="0.45">
      <c r="A5">
        <v>1</v>
      </c>
      <c r="B5">
        <v>1</v>
      </c>
      <c r="C5">
        <f>$B$1*B5+$B$2</f>
        <v>0</v>
      </c>
      <c r="D5">
        <f>1/(1+EXP(-C5))</f>
        <v>0.5</v>
      </c>
      <c r="E5" s="2">
        <v>0</v>
      </c>
      <c r="F5" s="3">
        <f>E5*LN(D5) + (1-E5)* LN(1-D5)</f>
        <v>-0.69314718055994529</v>
      </c>
      <c r="G5" s="5">
        <f>D5-E5</f>
        <v>0.5</v>
      </c>
      <c r="H5" s="5">
        <f>G5*B5</f>
        <v>0.5</v>
      </c>
    </row>
    <row r="6" spans="1:8" x14ac:dyDescent="0.45">
      <c r="A6">
        <v>2</v>
      </c>
      <c r="B6">
        <v>2</v>
      </c>
      <c r="C6">
        <f t="shared" ref="C6:C14" si="0">$B$1*B6+$B$2</f>
        <v>0.2</v>
      </c>
      <c r="D6">
        <f t="shared" ref="D6:D14" si="1">1/(1+EXP(-C6))</f>
        <v>0.54983399731247795</v>
      </c>
      <c r="E6" s="2">
        <v>0</v>
      </c>
      <c r="F6" s="3">
        <f t="shared" ref="F6:F14" si="2">E6*LN(D6) + (1-E6)* LN(1-D6)</f>
        <v>-0.79813886938159195</v>
      </c>
      <c r="G6" s="5">
        <f t="shared" ref="G6:G14" si="3">D6-E6</f>
        <v>0.54983399731247795</v>
      </c>
      <c r="H6" s="5">
        <f t="shared" ref="H6:H14" si="4">G6*B6</f>
        <v>1.0996679946249559</v>
      </c>
    </row>
    <row r="7" spans="1:8" x14ac:dyDescent="0.45">
      <c r="A7">
        <v>3</v>
      </c>
      <c r="B7">
        <v>3</v>
      </c>
      <c r="C7">
        <f t="shared" si="0"/>
        <v>0.40000000000000008</v>
      </c>
      <c r="D7">
        <f t="shared" si="1"/>
        <v>0.59868766011245211</v>
      </c>
      <c r="E7" s="2">
        <v>0</v>
      </c>
      <c r="F7" s="3">
        <f t="shared" si="2"/>
        <v>-0.91301525239995296</v>
      </c>
      <c r="G7" s="5">
        <f t="shared" si="3"/>
        <v>0.59868766011245211</v>
      </c>
      <c r="H7" s="5">
        <f t="shared" si="4"/>
        <v>1.7960629803373562</v>
      </c>
    </row>
    <row r="8" spans="1:8" x14ac:dyDescent="0.45">
      <c r="A8">
        <v>4</v>
      </c>
      <c r="B8">
        <v>4</v>
      </c>
      <c r="C8">
        <f t="shared" si="0"/>
        <v>0.60000000000000009</v>
      </c>
      <c r="D8">
        <f t="shared" si="1"/>
        <v>0.6456563062257954</v>
      </c>
      <c r="E8" s="2">
        <v>0</v>
      </c>
      <c r="F8" s="3">
        <f t="shared" si="2"/>
        <v>-1.0374879504858854</v>
      </c>
      <c r="G8" s="5">
        <f t="shared" si="3"/>
        <v>0.6456563062257954</v>
      </c>
      <c r="H8" s="5">
        <f t="shared" si="4"/>
        <v>2.5826252249031816</v>
      </c>
    </row>
    <row r="9" spans="1:8" x14ac:dyDescent="0.45">
      <c r="A9">
        <v>5</v>
      </c>
      <c r="B9">
        <v>5</v>
      </c>
      <c r="C9">
        <f t="shared" si="0"/>
        <v>0.8</v>
      </c>
      <c r="D9">
        <f t="shared" si="1"/>
        <v>0.6899744811276125</v>
      </c>
      <c r="E9" s="2">
        <v>1</v>
      </c>
      <c r="F9" s="3">
        <f t="shared" si="2"/>
        <v>-0.37110066594777763</v>
      </c>
      <c r="G9" s="5">
        <f t="shared" si="3"/>
        <v>-0.3100255188723875</v>
      </c>
      <c r="H9" s="5">
        <f t="shared" si="4"/>
        <v>-1.5501275943619375</v>
      </c>
    </row>
    <row r="10" spans="1:8" x14ac:dyDescent="0.45">
      <c r="A10">
        <v>6</v>
      </c>
      <c r="B10">
        <v>6</v>
      </c>
      <c r="C10">
        <f t="shared" si="0"/>
        <v>1.0000000000000002</v>
      </c>
      <c r="D10">
        <f t="shared" si="1"/>
        <v>0.7310585786300049</v>
      </c>
      <c r="E10" s="2">
        <v>1</v>
      </c>
      <c r="F10" s="3">
        <f t="shared" si="2"/>
        <v>-0.31326168751822281</v>
      </c>
      <c r="G10" s="5">
        <f t="shared" si="3"/>
        <v>-0.2689414213699951</v>
      </c>
      <c r="H10" s="5">
        <f t="shared" si="4"/>
        <v>-1.6136485282199706</v>
      </c>
    </row>
    <row r="11" spans="1:8" x14ac:dyDescent="0.45">
      <c r="A11">
        <v>7</v>
      </c>
      <c r="B11">
        <v>7</v>
      </c>
      <c r="C11">
        <f t="shared" si="0"/>
        <v>1.2000000000000002</v>
      </c>
      <c r="D11">
        <f t="shared" si="1"/>
        <v>0.76852478349901776</v>
      </c>
      <c r="E11" s="2">
        <v>0</v>
      </c>
      <c r="F11" s="3">
        <f t="shared" si="2"/>
        <v>-1.4632824673380318</v>
      </c>
      <c r="G11" s="5">
        <f t="shared" si="3"/>
        <v>0.76852478349901776</v>
      </c>
      <c r="H11" s="5">
        <f t="shared" si="4"/>
        <v>5.3796734844931242</v>
      </c>
    </row>
    <row r="12" spans="1:8" x14ac:dyDescent="0.45">
      <c r="A12">
        <v>8</v>
      </c>
      <c r="B12">
        <v>8</v>
      </c>
      <c r="C12">
        <f t="shared" si="0"/>
        <v>1.4000000000000001</v>
      </c>
      <c r="D12">
        <f t="shared" si="1"/>
        <v>0.8021838885585818</v>
      </c>
      <c r="E12" s="2">
        <v>1</v>
      </c>
      <c r="F12" s="3">
        <f t="shared" si="2"/>
        <v>-0.22041740991845085</v>
      </c>
      <c r="G12" s="5">
        <f t="shared" si="3"/>
        <v>-0.1978161114414182</v>
      </c>
      <c r="H12" s="5">
        <f t="shared" si="4"/>
        <v>-1.5825288915313456</v>
      </c>
    </row>
    <row r="13" spans="1:8" x14ac:dyDescent="0.45">
      <c r="A13">
        <v>9</v>
      </c>
      <c r="B13">
        <v>9</v>
      </c>
      <c r="C13">
        <f t="shared" si="0"/>
        <v>1.6</v>
      </c>
      <c r="D13">
        <f t="shared" si="1"/>
        <v>0.83201838513392445</v>
      </c>
      <c r="E13" s="2">
        <v>1</v>
      </c>
      <c r="F13" s="3">
        <f t="shared" si="2"/>
        <v>-0.18390074088833885</v>
      </c>
      <c r="G13" s="5">
        <f t="shared" si="3"/>
        <v>-0.16798161486607555</v>
      </c>
      <c r="H13" s="5">
        <f t="shared" si="4"/>
        <v>-1.5118345337946799</v>
      </c>
    </row>
    <row r="14" spans="1:8" x14ac:dyDescent="0.45">
      <c r="A14">
        <v>10</v>
      </c>
      <c r="B14">
        <v>10</v>
      </c>
      <c r="C14">
        <f t="shared" si="0"/>
        <v>1.8</v>
      </c>
      <c r="D14">
        <f t="shared" si="1"/>
        <v>0.85814893509951229</v>
      </c>
      <c r="E14" s="2">
        <v>1</v>
      </c>
      <c r="F14" s="3">
        <f t="shared" si="2"/>
        <v>-0.15297761052607403</v>
      </c>
      <c r="G14" s="5">
        <f t="shared" si="3"/>
        <v>-0.14185106490048771</v>
      </c>
      <c r="H14" s="5">
        <f t="shared" si="4"/>
        <v>-1.4185106490048771</v>
      </c>
    </row>
    <row r="16" spans="1:8" x14ac:dyDescent="0.45">
      <c r="A16" s="4" t="s">
        <v>8</v>
      </c>
      <c r="B16" s="4"/>
      <c r="C16" s="4"/>
      <c r="D16" s="4"/>
      <c r="E16" s="4"/>
      <c r="F16" s="3">
        <f>-(1/10)*SUM(F5:F14)</f>
        <v>0.61467298349642718</v>
      </c>
    </row>
    <row r="17" spans="1:6" x14ac:dyDescent="0.45">
      <c r="A17" s="4" t="s">
        <v>9</v>
      </c>
      <c r="B17" s="4"/>
      <c r="C17" s="4"/>
      <c r="D17" s="4"/>
      <c r="E17" s="4"/>
      <c r="F17">
        <f>(1/10)*SUM(H5:H14)</f>
        <v>0.36813794874458083</v>
      </c>
    </row>
    <row r="18" spans="1:6" x14ac:dyDescent="0.45">
      <c r="A18" s="4" t="s">
        <v>9</v>
      </c>
      <c r="B18" s="4"/>
      <c r="C18" s="4"/>
      <c r="D18" s="4"/>
      <c r="E18" s="4"/>
      <c r="F18">
        <f>(1/10)*SUM(G5:G14)</f>
        <v>0.19760870156993798</v>
      </c>
    </row>
    <row r="21" spans="1:6" x14ac:dyDescent="0.45">
      <c r="A21" t="s">
        <v>12</v>
      </c>
      <c r="B21" s="5">
        <f>B1-0.01*F17</f>
        <v>0.19631862051255419</v>
      </c>
    </row>
    <row r="22" spans="1:6" x14ac:dyDescent="0.45">
      <c r="A22" t="s">
        <v>13</v>
      </c>
      <c r="B22" s="5">
        <f>B2-0.01*F18</f>
        <v>-0.20197608701569938</v>
      </c>
    </row>
  </sheetData>
  <mergeCells count="3">
    <mergeCell ref="A16:E16"/>
    <mergeCell ref="A17:E17"/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서용원</dc:creator>
  <cp:lastModifiedBy>seoyw</cp:lastModifiedBy>
  <dcterms:created xsi:type="dcterms:W3CDTF">2015-06-05T18:19:34Z</dcterms:created>
  <dcterms:modified xsi:type="dcterms:W3CDTF">2022-03-23T13:44:04Z</dcterms:modified>
</cp:coreProperties>
</file>